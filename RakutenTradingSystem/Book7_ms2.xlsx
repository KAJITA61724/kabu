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ane\RakutenTradingSystem\"/>
    </mc:Choice>
  </mc:AlternateContent>
  <xr:revisionPtr revIDLastSave="0" documentId="13_ncr:1_{873E24C1-FCD6-40BB-BF94-6FE64D95FD40}" xr6:coauthVersionLast="47" xr6:coauthVersionMax="47" xr10:uidLastSave="{00000000-0000-0000-0000-000000000000}"/>
  <bookViews>
    <workbookView xWindow="-3080" yWindow="-10670" windowWidth="18970" windowHeight="10210" xr2:uid="{AEAE696C-678F-4727-883E-DB3D66AC2E3F}"/>
  </bookViews>
  <sheets>
    <sheet name="EnhancedDataColle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<sst xmlns="http://schemas.openxmlformats.org/spreadsheetml/2006/main" count="24" uniqueCount="24">
  <si>
    <t>銘柄コード</t>
  </si>
  <si>
    <t>現在値</t>
  </si>
  <si>
    <t>始値</t>
  </si>
  <si>
    <t>高値</t>
  </si>
  <si>
    <t>安値</t>
  </si>
  <si>
    <t>出来高</t>
  </si>
  <si>
    <t>VWAP</t>
  </si>
  <si>
    <t>売買代金</t>
  </si>
  <si>
    <t>前日比</t>
  </si>
  <si>
    <t>前日比率</t>
  </si>
  <si>
    <t>買気配1</t>
  </si>
  <si>
    <t>買数量1</t>
  </si>
  <si>
    <t>買気配2</t>
  </si>
  <si>
    <t>買数量2</t>
  </si>
  <si>
    <t>買気配3</t>
  </si>
  <si>
    <t>買数量3</t>
  </si>
  <si>
    <t>売気配1</t>
  </si>
  <si>
    <t>売数量1</t>
  </si>
  <si>
    <t>売気配2</t>
  </si>
  <si>
    <t>売数量2</t>
  </si>
  <si>
    <t>売気配3</t>
  </si>
  <si>
    <t>売数量3</t>
  </si>
  <si>
    <t>板状況</t>
  </si>
  <si>
    <t>更新時刻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</si>
</sst>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22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4B785-5522-4B70-B0DE-08F1B0618026}">
  <dimension ref="A1:X6"/>
  <sheetViews>
    <sheetView tabSelected="1" workbookViewId="0">
      <selection activeCell="B2" sqref="B2"/>
    </sheetView>
  </sheetViews>
  <sheetFormatPr defaultRowHeight="18.75" x14ac:dyDescent="0.4"/>
  <sheetData>
    <row r="1" spans="1:2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4">
      <c r="A2">
        <v>1301</v>
      </c>
      <c r="B2" t="e">
        <f ca="1">MSGETDATA("1301","現在値")</f>
        <v>#NAME?</v>
      </c>
      <c r="C2" t="e">
        <f ca="1">MSGETDATA("1301","始値")</f>
        <v>#NAME?</v>
      </c>
      <c r="D2" t="e">
        <f ca="1">MSGETDATA("1301","高値")</f>
        <v>#NAME?</v>
      </c>
      <c r="E2" t="e">
        <f ca="1">MSGETDATA("1301","安値")</f>
        <v>#NAME?</v>
      </c>
      <c r="F2" t="e">
        <f ca="1">MSGETDATA("1301","出来高")</f>
        <v>#NAME?</v>
      </c>
      <c r="G2" t="e">
        <f ca="1">MSGETDATA("1301","VWAP")</f>
        <v>#NAME?</v>
      </c>
      <c r="H2" t="e">
        <f ca="1">MSGETDATA("1301","売買代金")</f>
        <v>#NAME?</v>
      </c>
      <c r="I2" t="e">
        <f ca="1">MSGETDATA("1301","前日比")</f>
        <v>#NAME?</v>
      </c>
      <c r="J2" t="e">
        <f ca="1">MSGETDATA("1301","前日比率")</f>
        <v>#NAME?</v>
      </c>
      <c r="K2" t="e">
        <f ca="1">MSGETDATA("1301","買気配1")</f>
        <v>#NAME?</v>
      </c>
      <c r="L2" t="e">
        <f ca="1">MSGETDATA("1301","買数量1")</f>
        <v>#NAME?</v>
      </c>
      <c r="M2" t="e">
        <f ca="1">MSGETDATA("1301","買気配2")</f>
        <v>#NAME?</v>
      </c>
      <c r="N2" t="e">
        <f ca="1">MSGETDATA("1301","買数量2")</f>
        <v>#NAME?</v>
      </c>
      <c r="O2" t="e">
        <f ca="1">MSGETDATA("1301","買気配3")</f>
        <v>#NAME?</v>
      </c>
      <c r="P2" t="e">
        <f ca="1">MSGETDATA("1301","買数量3")</f>
        <v>#NAME?</v>
      </c>
      <c r="Q2" t="e">
        <f ca="1">MSGETDATA("1301","売気配1")</f>
        <v>#NAME?</v>
      </c>
      <c r="R2" t="e">
        <f ca="1">MSGETDATA("1301","売数量1")</f>
        <v>#NAME?</v>
      </c>
      <c r="S2" t="e">
        <f ca="1">MSGETDATA("1301","売気配2")</f>
        <v>#NAME?</v>
      </c>
      <c r="T2" t="e">
        <f ca="1">MSGETDATA("1301","売数量2")</f>
        <v>#NAME?</v>
      </c>
      <c r="U2" t="e">
        <f ca="1">MSGETDATA("1301","売気配3")</f>
        <v>#NAME?</v>
      </c>
      <c r="V2" t="e">
        <f ca="1">MSGETDATA("1301","売数量3")</f>
        <v>#NAME?</v>
      </c>
      <c r="X2" s="2">
        <v>45856.399305555555</v>
      </c>
    </row>
    <row r="3" spans="1:24" x14ac:dyDescent="0.4">
      <c r="A3">
        <v>1332</v>
      </c>
      <c r="B3" t="e">
        <f ca="1">MSGETDATA("1332","現在値")</f>
        <v>#NAME?</v>
      </c>
      <c r="C3" t="e">
        <f ca="1">MSGETDATA("1332","始値")</f>
        <v>#NAME?</v>
      </c>
      <c r="D3" t="e">
        <f ca="1">MSGETDATA("1332","高値")</f>
        <v>#NAME?</v>
      </c>
      <c r="E3" t="e">
        <f ca="1">MSGETDATA("1332","安値")</f>
        <v>#NAME?</v>
      </c>
      <c r="F3" t="e">
        <f ca="1">MSGETDATA("1332","出来高")</f>
        <v>#NAME?</v>
      </c>
      <c r="G3" t="e">
        <f ca="1">MSGETDATA("1332","VWAP")</f>
        <v>#NAME?</v>
      </c>
      <c r="H3" t="e">
        <f ca="1">MSGETDATA("1332","売買代金")</f>
        <v>#NAME?</v>
      </c>
      <c r="I3" t="e">
        <f ca="1">MSGETDATA("1332","前日比")</f>
        <v>#NAME?</v>
      </c>
      <c r="J3" t="e">
        <f ca="1">MSGETDATA("1332","前日比率")</f>
        <v>#NAME?</v>
      </c>
      <c r="K3" t="e">
        <f ca="1">MSGETDATA("1332","買気配1")</f>
        <v>#NAME?</v>
      </c>
      <c r="L3" t="e">
        <f ca="1">MSGETDATA("1332","買数量1")</f>
        <v>#NAME?</v>
      </c>
      <c r="M3" t="e">
        <f ca="1">MSGETDATA("1332","買気配2")</f>
        <v>#NAME?</v>
      </c>
      <c r="N3" t="e">
        <f ca="1">MSGETDATA("1332","買数量2")</f>
        <v>#NAME?</v>
      </c>
      <c r="O3" t="e">
        <f ca="1">MSGETDATA("1332","買気配3")</f>
        <v>#NAME?</v>
      </c>
      <c r="P3" t="e">
        <f ca="1">MSGETDATA("1332","買数量3")</f>
        <v>#NAME?</v>
      </c>
      <c r="Q3" t="e">
        <f ca="1">MSGETDATA("1332","売気配1")</f>
        <v>#NAME?</v>
      </c>
      <c r="R3" t="e">
        <f ca="1">MSGETDATA("1332","売数量1")</f>
        <v>#NAME?</v>
      </c>
      <c r="S3" t="e">
        <f ca="1">MSGETDATA("1332","売気配2")</f>
        <v>#NAME?</v>
      </c>
      <c r="T3" t="e">
        <f ca="1">MSGETDATA("1332","売数量2")</f>
        <v>#NAME?</v>
      </c>
      <c r="U3" t="e">
        <f ca="1">MSGETDATA("1332","売気配3")</f>
        <v>#NAME?</v>
      </c>
      <c r="V3" t="e">
        <f ca="1">MSGETDATA("1332","売数量3")</f>
        <v>#NAME?</v>
      </c>
      <c r="X3" s="2">
        <v>45856.399305555555</v>
      </c>
    </row>
    <row r="4" spans="1:24" x14ac:dyDescent="0.4">
      <c r="A4">
        <v>1333</v>
      </c>
      <c r="B4" t="e">
        <f ca="1">MSGETDATA("1333","現在値")</f>
        <v>#NAME?</v>
      </c>
      <c r="C4" t="e">
        <f ca="1">MSGETDATA("1333","始値")</f>
        <v>#NAME?</v>
      </c>
      <c r="D4" t="e">
        <f ca="1">MSGETDATA("1333","高値")</f>
        <v>#NAME?</v>
      </c>
      <c r="E4" t="e">
        <f ca="1">MSGETDATA("1333","安値")</f>
        <v>#NAME?</v>
      </c>
      <c r="F4" t="e">
        <f ca="1">MSGETDATA("1333","出来高")</f>
        <v>#NAME?</v>
      </c>
      <c r="G4" t="e">
        <f ca="1">MSGETDATA("1333","VWAP")</f>
        <v>#NAME?</v>
      </c>
      <c r="H4" t="e">
        <f ca="1">MSGETDATA("1333","売買代金")</f>
        <v>#NAME?</v>
      </c>
      <c r="I4" t="e">
        <f ca="1">MSGETDATA("1333","前日比")</f>
        <v>#NAME?</v>
      </c>
      <c r="J4" t="e">
        <f ca="1">MSGETDATA("1333","前日比率")</f>
        <v>#NAME?</v>
      </c>
      <c r="K4" t="e">
        <f ca="1">MSGETDATA("1333","買気配1")</f>
        <v>#NAME?</v>
      </c>
      <c r="L4" t="e">
        <f ca="1">MSGETDATA("1333","買数量1")</f>
        <v>#NAME?</v>
      </c>
      <c r="M4" t="e">
        <f ca="1">MSGETDATA("1333","買気配2")</f>
        <v>#NAME?</v>
      </c>
      <c r="N4" t="e">
        <f ca="1">MSGETDATA("1333","買数量2")</f>
        <v>#NAME?</v>
      </c>
      <c r="O4" t="e">
        <f ca="1">MSGETDATA("1333","買気配3")</f>
        <v>#NAME?</v>
      </c>
      <c r="P4" t="e">
        <f ca="1">MSGETDATA("1333","買数量3")</f>
        <v>#NAME?</v>
      </c>
      <c r="Q4" t="e">
        <f ca="1">MSGETDATA("1333","売気配1")</f>
        <v>#NAME?</v>
      </c>
      <c r="R4" t="e">
        <f ca="1">MSGETDATA("1333","売数量1")</f>
        <v>#NAME?</v>
      </c>
      <c r="S4" t="e">
        <f ca="1">MSGETDATA("1333","売気配2")</f>
        <v>#NAME?</v>
      </c>
      <c r="T4" t="e">
        <f ca="1">MSGETDATA("1333","売数量2")</f>
        <v>#NAME?</v>
      </c>
      <c r="U4" t="e">
        <f ca="1">MSGETDATA("1333","売気配3")</f>
        <v>#NAME?</v>
      </c>
      <c r="V4" t="e">
        <f ca="1">MSGETDATA("1333","売数量3")</f>
        <v>#NAME?</v>
      </c>
      <c r="X4" s="2">
        <v>45856.399305555555</v>
      </c>
    </row>
    <row r="5" spans="1:24" x14ac:dyDescent="0.4">
      <c r="A5">
        <v>1605</v>
      </c>
      <c r="B5" t="e">
        <f ca="1">MSGETDATA("1605","現在値")</f>
        <v>#NAME?</v>
      </c>
      <c r="C5" t="e">
        <f ca="1">MSGETDATA("1605","始値")</f>
        <v>#NAME?</v>
      </c>
      <c r="D5" t="e">
        <f ca="1">MSGETDATA("1605","高値")</f>
        <v>#NAME?</v>
      </c>
      <c r="E5" t="e">
        <f ca="1">MSGETDATA("1605","安値")</f>
        <v>#NAME?</v>
      </c>
      <c r="F5" t="e">
        <f ca="1">MSGETDATA("1605","出来高")</f>
        <v>#NAME?</v>
      </c>
      <c r="G5" t="e">
        <f ca="1">MSGETDATA("1605","VWAP")</f>
        <v>#NAME?</v>
      </c>
      <c r="H5" t="e">
        <f ca="1">MSGETDATA("1605","売買代金")</f>
        <v>#NAME?</v>
      </c>
      <c r="I5" t="e">
        <f ca="1">MSGETDATA("1605","前日比")</f>
        <v>#NAME?</v>
      </c>
      <c r="J5" t="e">
        <f ca="1">MSGETDATA("1605","前日比率")</f>
        <v>#NAME?</v>
      </c>
      <c r="K5" t="e">
        <f ca="1">MSGETDATA("1605","買気配1")</f>
        <v>#NAME?</v>
      </c>
      <c r="L5" t="e">
        <f ca="1">MSGETDATA("1605","買数量1")</f>
        <v>#NAME?</v>
      </c>
      <c r="M5" t="e">
        <f ca="1">MSGETDATA("1605","買気配2")</f>
        <v>#NAME?</v>
      </c>
      <c r="N5" t="e">
        <f ca="1">MSGETDATA("1605","買数量2")</f>
        <v>#NAME?</v>
      </c>
      <c r="O5" t="e">
        <f ca="1">MSGETDATA("1605","買気配3")</f>
        <v>#NAME?</v>
      </c>
      <c r="P5" t="e">
        <f ca="1">MSGETDATA("1605","買数量3")</f>
        <v>#NAME?</v>
      </c>
      <c r="Q5" t="e">
        <f ca="1">MSGETDATA("1605","売気配1")</f>
        <v>#NAME?</v>
      </c>
      <c r="R5" t="e">
        <f ca="1">MSGETDATA("1605","売数量1")</f>
        <v>#NAME?</v>
      </c>
      <c r="S5" t="e">
        <f ca="1">MSGETDATA("1605","売気配2")</f>
        <v>#NAME?</v>
      </c>
      <c r="T5" t="e">
        <f ca="1">MSGETDATA("1605","売数量2")</f>
        <v>#NAME?</v>
      </c>
      <c r="U5" t="e">
        <f ca="1">MSGETDATA("1605","売気配3")</f>
        <v>#NAME?</v>
      </c>
      <c r="V5" t="e">
        <f ca="1">MSGETDATA("1605","売数量3")</f>
        <v>#NAME?</v>
      </c>
      <c r="X5" s="2">
        <v>45856.399305555555</v>
      </c>
    </row>
    <row r="6" spans="1:24" x14ac:dyDescent="0.4">
      <c r="A6">
        <v>1801</v>
      </c>
      <c r="B6" t="e">
        <f ca="1">MSGETDATA("1801","現在値")</f>
        <v>#NAME?</v>
      </c>
      <c r="C6" t="e">
        <f ca="1">MSGETDATA("1801","始値")</f>
        <v>#NAME?</v>
      </c>
      <c r="D6" t="e">
        <f ca="1">MSGETDATA("1801","高値")</f>
        <v>#NAME?</v>
      </c>
      <c r="E6" t="e">
        <f ca="1">MSGETDATA("1801","安値")</f>
        <v>#NAME?</v>
      </c>
      <c r="F6" t="e">
        <f ca="1">MSGETDATA("1801","出来高")</f>
        <v>#NAME?</v>
      </c>
      <c r="G6" t="e">
        <f ca="1">MSGETDATA("1801","VWAP")</f>
        <v>#NAME?</v>
      </c>
      <c r="H6" t="e">
        <f ca="1">MSGETDATA("1801","売買代金")</f>
        <v>#NAME?</v>
      </c>
      <c r="I6" t="e">
        <f ca="1">MSGETDATA("1801","前日比")</f>
        <v>#NAME?</v>
      </c>
      <c r="J6" t="e">
        <f ca="1">MSGETDATA("1801","前日比率")</f>
        <v>#NAME?</v>
      </c>
      <c r="K6" t="e">
        <f ca="1">MSGETDATA("1801","買気配1")</f>
        <v>#NAME?</v>
      </c>
      <c r="L6" t="e">
        <f ca="1">MSGETDATA("1801","買数量1")</f>
        <v>#NAME?</v>
      </c>
      <c r="M6" t="e">
        <f ca="1">MSGETDATA("1801","買気配2")</f>
        <v>#NAME?</v>
      </c>
      <c r="N6" t="e">
        <f ca="1">MSGETDATA("1801","買数量2")</f>
        <v>#NAME?</v>
      </c>
      <c r="O6" t="e">
        <f ca="1">MSGETDATA("1801","買気配3")</f>
        <v>#NAME?</v>
      </c>
      <c r="P6" t="e">
        <f ca="1">MSGETDATA("1801","買数量3")</f>
        <v>#NAME?</v>
      </c>
      <c r="Q6" t="e">
        <f ca="1">MSGETDATA("1801","売気配1")</f>
        <v>#NAME?</v>
      </c>
      <c r="R6" t="e">
        <f ca="1">MSGETDATA("1801","売数量1")</f>
        <v>#NAME?</v>
      </c>
      <c r="S6" t="e">
        <f ca="1">MSGETDATA("1801","売気配2")</f>
        <v>#NAME?</v>
      </c>
      <c r="T6" t="e">
        <f ca="1">MSGETDATA("1801","売数量2")</f>
        <v>#NAME?</v>
      </c>
      <c r="U6" t="e">
        <f ca="1">MSGETDATA("1801","売気配3")</f>
        <v>#NAME?</v>
      </c>
      <c r="V6" t="e">
        <f ca="1">MSGETDATA("1801","売数量3")</f>
        <v>#NAME?</v>
      </c>
      <c r="X6" s="2">
        <v>45856.399305555555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EnhancedDataCollection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朱音 梶田</dc:creator>
  <cp:lastModifiedBy>朱音 梶田</cp:lastModifiedBy>
  <dcterms:created xsi:type="dcterms:W3CDTF">2025-07-18T00:37:16Z</dcterms:created>
  <dcterms:modified xsi:type="dcterms:W3CDTF">2025-07-18T00:48:03Z</dcterms:modified>
</cp:coreProperties>
</file>